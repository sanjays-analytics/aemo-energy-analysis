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920BCB03-0989-47F7-988F-7AC927503EC7}" xr6:coauthVersionLast="47" xr6:coauthVersionMax="47" xr10:uidLastSave="{00000000-0000-0000-0000-000000000000}"/>
  <bookViews>
    <workbookView xWindow="-108" yWindow="-108" windowWidth="23256" windowHeight="13896" xr2:uid="{FEAD87E9-C393-430C-B80D-F4E3A3969F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C4" i="1"/>
  <c r="D4" i="1" s="1"/>
  <c r="E4" i="1" s="1"/>
  <c r="C5" i="1"/>
  <c r="D5" i="1" s="1"/>
  <c r="E5" i="1" s="1"/>
  <c r="C2" i="1"/>
  <c r="D2" i="1" s="1"/>
  <c r="E2" i="1" s="1"/>
</calcChain>
</file>

<file path=xl/sharedStrings.xml><?xml version="1.0" encoding="utf-8"?>
<sst xmlns="http://schemas.openxmlformats.org/spreadsheetml/2006/main" count="10" uniqueCount="10">
  <si>
    <t>Scenario</t>
  </si>
  <si>
    <t>Wholesale Price</t>
  </si>
  <si>
    <t>Retail Rate</t>
  </si>
  <si>
    <t>Margin per MWh</t>
  </si>
  <si>
    <t>Margin %</t>
  </si>
  <si>
    <t>Typical Day</t>
  </si>
  <si>
    <t>Volatile Month Avg</t>
  </si>
  <si>
    <t>June 12 Event Avg</t>
  </si>
  <si>
    <t>June 12 Peak</t>
  </si>
  <si>
    <t>Fixed Retail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</si>
</sst>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9C7E-8D4B-40E4-8DAE-A62FB174E575}">
  <dimension ref="A1:G5"/>
  <sheetViews>
    <sheetView tabSelected="1" workbookViewId="0">
      <selection activeCell="H11" sqref="H11"/>
    </sheetView>
  </sheetViews>
  <sheetFormatPr defaultRowHeight="14.4" x14ac:dyDescent="0.3"/>
  <cols>
    <col min="1" max="1" width="16.5546875" bestFit="1" customWidth="1"/>
    <col min="2" max="2" width="14.109375" bestFit="1" customWidth="1"/>
    <col min="3" max="3" width="9.88671875" bestFit="1" customWidth="1"/>
    <col min="4" max="4" width="14.77734375" bestFit="1" customWidth="1"/>
    <col min="5" max="5" width="8.5546875" style="1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t="s">
        <v>9</v>
      </c>
    </row>
    <row r="2" spans="1:7" x14ac:dyDescent="0.3">
      <c r="A2" t="s">
        <v>5</v>
      </c>
      <c r="B2">
        <v>68</v>
      </c>
      <c r="C2">
        <f>$G$2</f>
        <v>120</v>
      </c>
      <c r="D2">
        <f>C2-B2</f>
        <v>52</v>
      </c>
      <c r="E2" s="1">
        <f>D2/C2</f>
        <v>0.43333333333333335</v>
      </c>
      <c r="G2">
        <v>120</v>
      </c>
    </row>
    <row r="3" spans="1:7" x14ac:dyDescent="0.3">
      <c r="A3" t="s">
        <v>6</v>
      </c>
      <c r="B3">
        <v>994</v>
      </c>
      <c r="C3">
        <f t="shared" ref="C3:C5" si="0">$G$2</f>
        <v>120</v>
      </c>
      <c r="D3">
        <f t="shared" ref="D3:D5" si="1">C3-B3</f>
        <v>-874</v>
      </c>
      <c r="E3" s="1">
        <f t="shared" ref="E3:E5" si="2">D3/C3</f>
        <v>-7.2833333333333332</v>
      </c>
    </row>
    <row r="4" spans="1:7" x14ac:dyDescent="0.3">
      <c r="A4" t="s">
        <v>7</v>
      </c>
      <c r="B4">
        <v>1786</v>
      </c>
      <c r="C4">
        <f t="shared" si="0"/>
        <v>120</v>
      </c>
      <c r="D4">
        <f t="shared" si="1"/>
        <v>-1666</v>
      </c>
      <c r="E4" s="1">
        <f t="shared" si="2"/>
        <v>-13.883333333333333</v>
      </c>
    </row>
    <row r="5" spans="1:7" x14ac:dyDescent="0.3">
      <c r="A5" t="s">
        <v>8</v>
      </c>
      <c r="B5">
        <v>17500</v>
      </c>
      <c r="C5">
        <f t="shared" si="0"/>
        <v>120</v>
      </c>
      <c r="D5">
        <f t="shared" si="1"/>
        <v>-17380</v>
      </c>
      <c r="E5" s="1">
        <f t="shared" si="2"/>
        <v>-144.83333333333334</v>
      </c>
    </row>
  </sheetData>
  <conditionalFormatting sqref="E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SUBRAMANYAN</dc:creator>
  <cp:lastModifiedBy>SANJAY SUBRAMANYAN</cp:lastModifiedBy>
  <dcterms:created xsi:type="dcterms:W3CDTF">2026-09-24T16:01:49Z</dcterms:created>
  <dcterms:modified xsi:type="dcterms:W3CDTF">2026-09-25T15:37:13Z</dcterms:modified>
</cp:coreProperties>
</file>